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Method" sheetId="1" state="visible" r:id="rId3"/>
    <sheet name="Headroom Scorecard" sheetId="2" state="visible" r:id="rId4"/>
    <sheet name="Scoring Model" sheetId="3" state="visible" r:id="rId5"/>
    <sheet name="Source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Grid-Headroom Map</author>
  </authors>
  <commentList>
    <comment ref="A2" authorId="0">
      <text>
        <r>
          <rPr>
            <sz val="10"/>
            <rFont val="Arial"/>
            <family val="2"/>
          </rPr>
          <t xml:space="preserve">PJM 2026 load forecast; Dominion documentation to PJM. Firm-date gap = 25 of 70 GW.</t>
        </r>
      </text>
    </comment>
    <comment ref="A3" authorId="0">
      <text>
        <r>
          <rPr>
            <sz val="10"/>
            <rFont val="Arial"/>
            <family val="2"/>
          </rPr>
          <t xml:space="preserve">ERCOT Large Load Interconnection Update, Mar/Apr 2026; queue nearly 4x the end-2024 level of 63 GW.</t>
        </r>
      </text>
    </comment>
    <comment ref="A4" authorId="0">
      <text>
        <r>
          <rPr>
            <sz val="10"/>
            <rFont val="Arial"/>
            <family val="2"/>
          </rPr>
          <t xml:space="preserve">KJZZ/Utility Dive Jul 2026; Gov. Hobbs 2026 plan warns AZ loads could need up to 29 GW of new power.</t>
        </r>
      </text>
    </comment>
    <comment ref="A5" authorId="0">
      <text>
        <r>
          <rPr>
            <sz val="10"/>
            <rFont val="Arial"/>
            <family val="2"/>
          </rPr>
          <t xml:space="preserve">SRP data-center facts; KJZZ Jul 2026 (peak 9,072 MW, DC 441 MW).</t>
        </r>
      </text>
    </comment>
    <comment ref="A6" authorId="0">
      <text>
        <r>
          <rPr>
            <sz val="10"/>
            <rFont val="Arial"/>
            <family val="2"/>
          </rPr>
          <t xml:space="preserve">Utility Dive: PJM 5.4%/yr forecast (revised down from 6.3%).</t>
        </r>
      </text>
    </comment>
    <comment ref="A7" authorId="0">
      <text>
        <r>
          <rPr>
            <sz val="10"/>
            <rFont val="Arial"/>
            <family val="2"/>
          </rPr>
          <t xml:space="preserve">LBNL Queued Up; DOE MISO IQ reform note.</t>
        </r>
      </text>
    </comment>
    <comment ref="A8" authorId="0">
      <text>
        <r>
          <rPr>
            <sz val="10"/>
            <rFont val="Arial"/>
            <family val="2"/>
          </rPr>
          <t xml:space="preserve">Interconnection.fyi 2024; LBNL Queued Up 2026.</t>
        </r>
      </text>
    </comment>
    <comment ref="A9" authorId="0">
      <text>
        <r>
          <rPr>
            <sz val="10"/>
            <rFont val="Arial"/>
            <family val="2"/>
          </rPr>
          <t xml:space="preserve">LBNL Queued Up 2026 (record IAs in ERCOT, SPP, MISO, CAISO).</t>
        </r>
      </text>
    </comment>
    <comment ref="A10" authorId="0">
      <text>
        <r>
          <rPr>
            <sz val="10"/>
            <rFont val="Arial"/>
            <family val="2"/>
          </rPr>
          <t xml:space="preserve">LBNL Queued Up 2026: non-ISO West 567 GW active queue.</t>
        </r>
      </text>
    </comment>
  </commentList>
</comments>
</file>

<file path=xl/sharedStrings.xml><?xml version="1.0" encoding="utf-8"?>
<sst xmlns="http://schemas.openxmlformats.org/spreadsheetml/2006/main" count="237" uniqueCount="188">
  <si>
    <t xml:space="preserve">What this is</t>
  </si>
  <si>
    <t xml:space="preserve">A starter 'grid-headroom map' that scores the U.S. power markets where hyperscalers build, by how power-constrained each one is. Power delivery — not land, fiber, or GPUs — is now the binding constraint on data-center capacity. Where the grid is tight, a provider siting your workload there carries real schedule and cost risk. That risk is your negotiating leverage: push for delivery-date penalties and price concessions, or steer the deal to a headroom-rich region.</t>
  </si>
  <si>
    <t xml:space="preserve">How to read the Scorecard</t>
  </si>
  <si>
    <t xml:space="preserve">Each market gets a Constraint Index from 1 (ample headroom) to 5 (severely constrained). It is a weighted blend of five 1–5 sub-scores: Load-vs-Capacity tightness, Queue Deliverability Gap, Generation Adequacy, Interconnection Friction, and Regulatory/Curtailment Risk. A HIGH index = MORE buyer leverage on timeline &amp; price. Weights live on the 'Scoring Model' tab — change them and every score updates.</t>
  </si>
  <si>
    <t xml:space="preserve">How the sub-scores were seeded</t>
  </si>
  <si>
    <t xml:space="preserve">The five sub-scores are expert-judgment ratings anchored to the real, cited figures on the 'Source Data' tab (ERCOT large-load queue, PJM/Dominion firm-date gap, APS/SRP capacity utilization, LBNL national completion &amp; wait-time stats). They are a defensible first pass, not gospel — every rating has a rationale in the row's 'Sourcing takeaway' and cell notes. Refine them as you pull deeper local data.</t>
  </si>
  <si>
    <t xml:space="preserve">How to extend it</t>
  </si>
  <si>
    <t xml:space="preserve">Yellow cells are yours to edit. Add a market as a new row, drop in the five 1–5 sub-scores, and the index and leverage label compute automatically. Template rows (Georgia/Southern Co, Ohio/AEP, Iowa/MISO) are pre-stubbed — fill the yellow sub-score cells once you have local queue and IRP data.</t>
  </si>
  <si>
    <t xml:space="preserve">The honest caveats</t>
  </si>
  <si>
    <t xml:space="preserve">1) Queue MW massively overstates real demand — ERCOT's own request-to-operating funnel is ~1.6%, so withdrawal rate matters as much as raw depth. 2) This map flags timeline/siting RISK, not a vendor's confidential internal constraint. 3) Use it to generate the questions you ask in negotiation ('the grid says this region is tight — how are you de-risking delivery?'), not as a claim you assert as fact. 4) Figures are point-in-time (see as-of dates) and queue data is revised constantly.</t>
  </si>
  <si>
    <t xml:space="preserve">Where the data comes from</t>
  </si>
  <si>
    <t xml:space="preserve">Berkeley Lab (LBNL) 'Queued Up' 2026 edition for national queue/completion/wait-time stats; ERCOT Large Load Interconnection updates; PJM load forecast &amp; Dominion documentation; Arizona Corporation Commission, APS, SRP, and Gov. Hobbs' 2026 energy plan for Arizona. Full links on the 'Source Data' tab. For non-ISO markets (AZ, Southeast) there is no public queue — use utility IRPs, large-load tariffs, and WECC/SERC transmission planning instead.</t>
  </si>
  <si>
    <t xml:space="preserve">Built as a starter template — verify every figure against the linked source before using in a live negotiation.</t>
  </si>
  <si>
    <t xml:space="preserve">Market / Region</t>
  </si>
  <si>
    <t xml:space="preserve">Grid operator type</t>
  </si>
  <si>
    <t xml:space="preserve">Primary hyperscaler footprint</t>
  </si>
  <si>
    <t xml:space="preserve">A. Load-vs-Capacity</t>
  </si>
  <si>
    <t xml:space="preserve">B. Queue deliverability gap</t>
  </si>
  <si>
    <t xml:space="preserve">C. Generation adequacy</t>
  </si>
  <si>
    <t xml:space="preserve">D. Interconnection friction</t>
  </si>
  <si>
    <t xml:space="preserve">E. Regulatory / curtailment risk</t>
  </si>
  <si>
    <t xml:space="preserve">Constraint Index (1–5)</t>
  </si>
  <si>
    <t xml:space="preserve">Buyer leverage</t>
  </si>
  <si>
    <t xml:space="preserve">Key hard data point (sourced)</t>
  </si>
  <si>
    <t xml:space="preserve">Sourcing takeaway</t>
  </si>
  <si>
    <t xml:space="preserve">PJM — Dominion / N. Virginia</t>
  </si>
  <si>
    <t xml:space="preserve">ISO/RTO</t>
  </si>
  <si>
    <t xml:space="preserve">AWS, Microsoft, Google, Meta (world's #1 DC cluster)</t>
  </si>
  <si>
    <t xml:space="preserve">70 GW in queue; only ~25 GW have firm connection dates through 2031. Summer peak 23.9 GW (2025), +45% winter vs 2019.</t>
  </si>
  <si>
    <t xml:space="preserve">Most constrained U.S. market. Treat any Northern Virginia delivery date as at-risk; demand milestone penalties, or negotiate a backup region.</t>
  </si>
  <si>
    <t xml:space="preserve">ERCOT — Texas</t>
  </si>
  <si>
    <t xml:space="preserve">Oracle/OpenAI (Stargate-Abilene), Meta, others</t>
  </si>
  <si>
    <t xml:space="preserve">Large-load queue ~238.6 GW (Mar 2026), 77.5% data centers; only ~9 GW Approval-to-Energize; request-to-operating funnel ~1.6%.</t>
  </si>
  <si>
    <t xml:space="preserve">Fastest generation interconnection in the U.S., but SB6 curtailment rules + a wildly speculative load queue mean firm, non-curtailable capacity is scarce. Price the curtailment risk.</t>
  </si>
  <si>
    <t xml:space="preserve">APS — Arizona (Phoenix)</t>
  </si>
  <si>
    <t xml:space="preserve">Non-ISO (WECC)</t>
  </si>
  <si>
    <t xml:space="preserve">Microsoft, Google, Meta, QTS (Mesa/Goodyear)</t>
  </si>
  <si>
    <t xml:space="preserve">2026 peak ~9.06 GW = ~90% of planned summer capacity; data centers ~630 MW (~7% of peak). Peak load projected +40% by 2031.</t>
  </si>
  <si>
    <t xml:space="preserve">Running near planned capacity with data-center rate cases open. No public queue — pull APS IRP &amp; large-load tariff. Delivery timing hinges on new generation &amp; rate approvals; strong buyer leverage on schedule.</t>
  </si>
  <si>
    <t xml:space="preserve">SRP — Arizona (Phoenix)</t>
  </si>
  <si>
    <t xml:space="preserve">Non-ISO (public power)</t>
  </si>
  <si>
    <t xml:space="preserve">Meta, Google, EdgeCore (Mesa/Queen Creek)</t>
  </si>
  <si>
    <t xml:space="preserve">2026 peak ~9.07 GW, near planned capacity; data-center peak ~441 MW (5.1% of load, 2025).</t>
  </si>
  <si>
    <t xml:space="preserve">Same near-capacity summer picture as APS but lighter current DC saturation. Non-ISO, so use SRP's published data-center facts + resource plan; leverage on delivery timing is real.</t>
  </si>
  <si>
    <t xml:space="preserve">PJM — rest of footprint</t>
  </si>
  <si>
    <t xml:space="preserve">Meta, Google, AWS (Ohio/AEP, Indiana)</t>
  </si>
  <si>
    <t xml:space="preserve">PJM-wide summer peak growth 5.4%/yr over 10 yrs; capacity auction prices have spiked on tightening reserves.</t>
  </si>
  <si>
    <t xml:space="preserve">Less acute than Dominion but the whole RTO is tightening and interconnection is slow. Moderate leverage; watch capacity-price pass-throughs in any colo/power clause.</t>
  </si>
  <si>
    <t xml:space="preserve">MISO — Midwest</t>
  </si>
  <si>
    <t xml:space="preserve">Meta (Iowa), Google, Microsoft</t>
  </si>
  <si>
    <t xml:space="preserve">Queue was frozen in 2023 during reform, reopened 2024 with a wave of applications; large backlog.</t>
  </si>
  <si>
    <t xml:space="preserve">Reform-era friction and a re-inflating queue. Moderate leverage; confirm the specific study cycle a provider's site sits in.</t>
  </si>
  <si>
    <t xml:space="preserve">CAISO — California</t>
  </si>
  <si>
    <t xml:space="preserve">Google, Microsoft, AWS (limited new build)</t>
  </si>
  <si>
    <t xml:space="preserve">Very large generation queue (West/CAISO 500+ GW) but slow studies and high siting friction.</t>
  </si>
  <si>
    <t xml:space="preserve">Ample generation interest but chronic interconnection delay. Leverage is on timeline, not scarcity of supply.</t>
  </si>
  <si>
    <t xml:space="preserve">SPP — Central</t>
  </si>
  <si>
    <t xml:space="preserve">Limited hyperscale (growing)</t>
  </si>
  <si>
    <t xml:space="preserve">Signed record interconnection-agreement capacity in 2025; relatively more headroom.</t>
  </si>
  <si>
    <t xml:space="preserve">One of the more deliverable markets — weaker buyer leverage on scarcity, but wind-heavy supply. Consider as an alternate region.</t>
  </si>
  <si>
    <t xml:space="preserve">Non-ISO West (ex-AZ)</t>
  </si>
  <si>
    <t xml:space="preserve">Microsoft, Google, Meta (NV, UT, NM)</t>
  </si>
  <si>
    <t xml:space="preserve">Largest active generation queue of any region (~567 GW, LBNL end-2024) but DC load pressure concentrated in hubs.</t>
  </si>
  <si>
    <t xml:space="preserve">Bilateral, opaque, but generally more headroom outside the hotspots. Weaker scarcity leverage; friction leverage from slow bilateral processes.</t>
  </si>
  <si>
    <t xml:space="preserve">Georgia — Southern Co (Atlanta)</t>
  </si>
  <si>
    <t xml:space="preserve">Non-ISO (SERC)</t>
  </si>
  <si>
    <t xml:space="preserve">Microsoft, Google, QTS, Meta</t>
  </si>
  <si>
    <t xml:space="preserve">» Add local queue / IRP data</t>
  </si>
  <si>
    <t xml:space="preserve">» Template row — enter the five 1–5 sub-scores in the yellow cells</t>
  </si>
  <si>
    <t xml:space="preserve">Ohio — AEP (Columbus)</t>
  </si>
  <si>
    <t xml:space="preserve">ISO/RTO (PJM)</t>
  </si>
  <si>
    <t xml:space="preserve">Google, Meta, AWS, Cologix</t>
  </si>
  <si>
    <t xml:space="preserve">Iowa — MidAmerican/MISO</t>
  </si>
  <si>
    <t xml:space="preserve">ISO/RTO (MISO)</t>
  </si>
  <si>
    <t xml:space="preserve">Meta, Google, Microsoft</t>
  </si>
  <si>
    <t xml:space="preserve">Sub-scores 1–5:  1 = ample headroom / low risk   •   5 = severely constrained / high risk.   Constraint Index is the weighted blend (see Scoring Model tab).</t>
  </si>
  <si>
    <t xml:space="preserve">Yellow cells are editable inputs. Higher Constraint Index = more power-constrained = more buyer leverage on delivery timeline and price.</t>
  </si>
  <si>
    <t xml:space="preserve">Scoring Model — Weights</t>
  </si>
  <si>
    <t xml:space="preserve">Sub-score</t>
  </si>
  <si>
    <t xml:space="preserve">Weight</t>
  </si>
  <si>
    <t xml:space="preserve">What it measures</t>
  </si>
  <si>
    <t xml:space="preserve">A. Load-vs-Capacity tightness</t>
  </si>
  <si>
    <t xml:space="preserve">How close current peak demand sits to planned/available capacity. Higher = less spare headroom.</t>
  </si>
  <si>
    <t xml:space="preserve">Gap between large-load requests and what can actually be energized / has firm connection dates.</t>
  </si>
  <si>
    <t xml:space="preserve">Whether new generation is keeping pace with load growth. Higher = bigger shortfall.</t>
  </si>
  <si>
    <t xml:space="preserve">Regional study times, wait (LBNL: ~5 yrs avg) and withdrawal rates (~86% of capacity never completes).</t>
  </si>
  <si>
    <t xml:space="preserve">Moratoria, curtailment rules (e.g., Texas SB6), locational-price premiums, tariff/rate uncertainty.</t>
  </si>
  <si>
    <t xml:space="preserve">Total</t>
  </si>
  <si>
    <t xml:space="preserve">Must equal 100%. Weights are editable (yellow) — adjust to match your sourcing priorities.</t>
  </si>
  <si>
    <t xml:space="preserve">Note: sub-scores are entered on the Headroom Scorecard tab; this tab only holds the weights they are multiplied by.</t>
  </si>
  <si>
    <t xml:space="preserve">Market / topic</t>
  </si>
  <si>
    <t xml:space="preserve">Metric</t>
  </si>
  <si>
    <t xml:space="preserve">Value</t>
  </si>
  <si>
    <t xml:space="preserve">As of</t>
  </si>
  <si>
    <t xml:space="preserve">Source</t>
  </si>
  <si>
    <t xml:space="preserve">Link</t>
  </si>
  <si>
    <t xml:space="preserve">National (LBNL)</t>
  </si>
  <si>
    <t xml:space="preserve">Total active capacity in interconnection queues</t>
  </si>
  <si>
    <t xml:space="preserve">~2,060 GW</t>
  </si>
  <si>
    <t xml:space="preserve">End 2025</t>
  </si>
  <si>
    <t xml:space="preserve">LBNL Queued Up 2026 Edition</t>
  </si>
  <si>
    <t xml:space="preserve">https://emp.lbl.gov/queues</t>
  </si>
  <si>
    <t xml:space="preserve">Share of queued capacity historically reaching commercial operation</t>
  </si>
  <si>
    <t xml:space="preserve">~14% (86% withdrawn)</t>
  </si>
  <si>
    <t xml:space="preserve">2000–2023</t>
  </si>
  <si>
    <t xml:space="preserve">LBNL Queued Up</t>
  </si>
  <si>
    <t xml:space="preserve">Typical time in queue for completed projects</t>
  </si>
  <si>
    <t xml:space="preserve">~5 years (was ~2 yrs in 2008)</t>
  </si>
  <si>
    <t xml:space="preserve">2022</t>
  </si>
  <si>
    <t xml:space="preserve">Completion rate by type: gas 31% / wind 20% / solar 13% / battery 11%</t>
  </si>
  <si>
    <t xml:space="preserve">see cell</t>
  </si>
  <si>
    <t xml:space="preserve">Non-ISO West</t>
  </si>
  <si>
    <t xml:space="preserve">Active generation interconnection queue (largest region)</t>
  </si>
  <si>
    <t xml:space="preserve">~567 GW</t>
  </si>
  <si>
    <t xml:space="preserve">End 2024</t>
  </si>
  <si>
    <t xml:space="preserve">LBNL Queued Up 2026</t>
  </si>
  <si>
    <t xml:space="preserve">ERCOT</t>
  </si>
  <si>
    <t xml:space="preserve">Active generation interconnection queue</t>
  </si>
  <si>
    <t xml:space="preserve">~408 GW</t>
  </si>
  <si>
    <t xml:space="preserve">2025</t>
  </si>
  <si>
    <t xml:space="preserve">Large-load interconnection queue</t>
  </si>
  <si>
    <t xml:space="preserve">~238.6 GW (77.5% data centers)</t>
  </si>
  <si>
    <t xml:space="preserve">Mar 2026</t>
  </si>
  <si>
    <t xml:space="preserve">ERCOT Large Load Update</t>
  </si>
  <si>
    <t xml:space="preserve">https://www.ercot.com/files/docs/2026/03/12/March-TAC-Report.pdf</t>
  </si>
  <si>
    <t xml:space="preserve">Large-load queue vs end-2024</t>
  </si>
  <si>
    <t xml:space="preserve">~4x growth (from 63 GW)</t>
  </si>
  <si>
    <t xml:space="preserve">2024→2026</t>
  </si>
  <si>
    <t xml:space="preserve">Latitude Media / Utility Dive</t>
  </si>
  <si>
    <t xml:space="preserve">https://www.latitudemedia.com/news/ercots-large-load-queue-has-nearly-quadrupled-in-a-single-year/</t>
  </si>
  <si>
    <t xml:space="preserve">Large load with Approval-to-Energize</t>
  </si>
  <si>
    <t xml:space="preserve">~9.0 GW (peak observed ~3.9 GW)</t>
  </si>
  <si>
    <t xml:space="preserve">Q1 2026</t>
  </si>
  <si>
    <t xml:space="preserve">https://www.ercot.com/files/docs/2026/04/01/ERCOT_LargeLoad_Update_April2026_B-C_-Hearing.pdf</t>
  </si>
  <si>
    <t xml:space="preserve">Active generation IRs</t>
  </si>
  <si>
    <t xml:space="preserve">2,008 reqs / 453,562 MW</t>
  </si>
  <si>
    <t xml:space="preserve">Feb 28 2026</t>
  </si>
  <si>
    <t xml:space="preserve">Regulatory: SB6 large-load financial + curtailment rules</t>
  </si>
  <si>
    <t xml:space="preserve">Enacted</t>
  </si>
  <si>
    <t xml:space="preserve">Jun 2025</t>
  </si>
  <si>
    <t xml:space="preserve">RTO Insider / ERCOT</t>
  </si>
  <si>
    <t xml:space="preserve">https://www.rtoinsider.com/122182-ercot-add-new-interconnection-rules-large-loads/</t>
  </si>
  <si>
    <t xml:space="preserve">Interconnection queue vs firm-dated capacity</t>
  </si>
  <si>
    <t xml:space="preserve">70 GW queued / ~25 GW firm dates through 2031</t>
  </si>
  <si>
    <t xml:space="preserve">2026</t>
  </si>
  <si>
    <t xml:space="preserve">KilowattLogic / Dominion to PJM</t>
  </si>
  <si>
    <t xml:space="preserve">https://kilowattlogic.com/news/virginia-dominion-data-center-70gw-pipeline-rate-impact-2026</t>
  </si>
  <si>
    <t xml:space="preserve">PJM — Dominion</t>
  </si>
  <si>
    <t xml:space="preserve">Summer peak load</t>
  </si>
  <si>
    <t xml:space="preserve">23,905 MW (+23% vs 2019)</t>
  </si>
  <si>
    <t xml:space="preserve">PJM load forecast</t>
  </si>
  <si>
    <t xml:space="preserve">https://www.utilitydive.com/news/pjm-load-forecast-data-center-dominion-virginia/735056/</t>
  </si>
  <si>
    <t xml:space="preserve">Winter peak load</t>
  </si>
  <si>
    <t xml:space="preserve">25,413 MW (+45% vs 2019-20)</t>
  </si>
  <si>
    <t xml:space="preserve">2025–26</t>
  </si>
  <si>
    <t xml:space="preserve">https://www.utilitydive.com/news/pjm-interconnection-load-forecast-data-centers/809717/</t>
  </si>
  <si>
    <t xml:space="preserve">PJM — system</t>
  </si>
  <si>
    <t xml:space="preserve">Forecast summer peak growth</t>
  </si>
  <si>
    <t xml:space="preserve">5.4%/yr over 10 yrs (revised from 6.3%)</t>
  </si>
  <si>
    <t xml:space="preserve">Utility Dive / PowerMag</t>
  </si>
  <si>
    <t xml:space="preserve">https://www.powermag.com/pjm-dials-back-near-term-load-outlook-but-maintains-steep-long-term-growth-trajectory/</t>
  </si>
  <si>
    <t xml:space="preserve">APS — Arizona</t>
  </si>
  <si>
    <t xml:space="preserve">2026 summer peak vs planned capacity</t>
  </si>
  <si>
    <t xml:space="preserve">~9,063 MW (~90% of planned)</t>
  </si>
  <si>
    <t xml:space="preserve">Jul 2026</t>
  </si>
  <si>
    <t xml:space="preserve">KJZZ</t>
  </si>
  <si>
    <t xml:space="preserve">https://www.kjzz.org/business/2026-07-29/aps-srp-saw-peak-demand-records-as-both-neared-planned-power-capacity-for-the-summer</t>
  </si>
  <si>
    <t xml:space="preserve">Data-center share of record peak</t>
  </si>
  <si>
    <t xml:space="preserve">~630 MW (~7%), +200 MW vs 2025</t>
  </si>
  <si>
    <t xml:space="preserve">https://www.kjzz.org/business/2026-07-29/data-centers-drive-half-of-aps-peak-demand-growth-this-year-compared-to-2025</t>
  </si>
  <si>
    <t xml:space="preserve">Projected peak growth</t>
  </si>
  <si>
    <t xml:space="preserve">+40% by 2031 (mostly data centers)</t>
  </si>
  <si>
    <t xml:space="preserve">APS / Utility Dive</t>
  </si>
  <si>
    <t xml:space="preserve">https://www.aps.com/en/About/Our-Company/Newsroom/Articles/Powering_Arizonas_Remarkable_Growth</t>
  </si>
  <si>
    <t xml:space="preserve">SRP — Arizona</t>
  </si>
  <si>
    <t xml:space="preserve">2026 summer peak</t>
  </si>
  <si>
    <t xml:space="preserve">~9,072 MW (near planned capacity)</t>
  </si>
  <si>
    <t xml:space="preserve">Data-center peak demand</t>
  </si>
  <si>
    <t xml:space="preserve">~441 MW (5.1% of 8,542 MW peak)</t>
  </si>
  <si>
    <t xml:space="preserve">SRP data-center facts</t>
  </si>
  <si>
    <t xml:space="preserve">https://www.srpnet.com/about/data-center-facts</t>
  </si>
  <si>
    <t xml:space="preserve">Arizona (statewide)</t>
  </si>
  <si>
    <t xml:space="preserve">Gov. Hobbs energy plan: new power potentially needed</t>
  </si>
  <si>
    <t xml:space="preserve">up to ~29,000 MW</t>
  </si>
  <si>
    <t xml:space="preserve">Apr 2026</t>
  </si>
  <si>
    <t xml:space="preserve">AZ Governor / ACC</t>
  </si>
  <si>
    <t xml:space="preserve">https://www.azcc.gov/news/home/2026/04/20/acc-large-load-data-center-workshop-highlights</t>
  </si>
  <si>
    <t xml:space="preserve">Regional queue figures come from different LBNL/interconnection.fyi vintages and definitions (active vs IA-signed), so treat them as directional, not exact. Verify before citing.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</si>
</sst>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6"/>
      <color rgb="FFFFFFFF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emp.lbl.gov/queues" TargetMode="External"/><Relationship Id="rId2" Type="http://schemas.openxmlformats.org/officeDocument/2006/relationships/hyperlink" Target="https://emp.lbl.gov/queues" TargetMode="External"/><Relationship Id="rId3" Type="http://schemas.openxmlformats.org/officeDocument/2006/relationships/hyperlink" Target="https://emp.lbl.gov/queues" TargetMode="External"/><Relationship Id="rId4" Type="http://schemas.openxmlformats.org/officeDocument/2006/relationships/hyperlink" Target="https://emp.lbl.gov/queues" TargetMode="External"/><Relationship Id="rId5" Type="http://schemas.openxmlformats.org/officeDocument/2006/relationships/hyperlink" Target="https://emp.lbl.gov/queues" TargetMode="External"/><Relationship Id="rId6" Type="http://schemas.openxmlformats.org/officeDocument/2006/relationships/hyperlink" Target="https://emp.lbl.gov/queues" TargetMode="External"/><Relationship Id="rId7" Type="http://schemas.openxmlformats.org/officeDocument/2006/relationships/hyperlink" Target="https://www.ercot.com/files/docs/2026/03/12/March-TAC-Report.pdf" TargetMode="External"/><Relationship Id="rId8" Type="http://schemas.openxmlformats.org/officeDocument/2006/relationships/hyperlink" Target="https://www.latitudemedia.com/news/ercots-large-load-queue-has-nearly-quadrupled-in-a-single-year/" TargetMode="External"/><Relationship Id="rId9" Type="http://schemas.openxmlformats.org/officeDocument/2006/relationships/hyperlink" Target="https://www.ercot.com/files/docs/2026/04/01/ERCOT_LargeLoad_Update_April2026_B-C_-Hearing.pdf" TargetMode="External"/><Relationship Id="rId10" Type="http://schemas.openxmlformats.org/officeDocument/2006/relationships/hyperlink" Target="https://www.ercot.com/files/docs/2026/04/01/ERCOT_LargeLoad_Update_April2026_B-C_-Hearing.pdf" TargetMode="External"/><Relationship Id="rId11" Type="http://schemas.openxmlformats.org/officeDocument/2006/relationships/hyperlink" Target="https://www.rtoinsider.com/122182-ercot-add-new-interconnection-rules-large-loads/" TargetMode="External"/><Relationship Id="rId12" Type="http://schemas.openxmlformats.org/officeDocument/2006/relationships/hyperlink" Target="https://kilowattlogic.com/news/virginia-dominion-data-center-70gw-pipeline-rate-impact-2026" TargetMode="External"/><Relationship Id="rId13" Type="http://schemas.openxmlformats.org/officeDocument/2006/relationships/hyperlink" Target="https://www.utilitydive.com/news/pjm-load-forecast-data-center-dominion-virginia/735056/" TargetMode="External"/><Relationship Id="rId14" Type="http://schemas.openxmlformats.org/officeDocument/2006/relationships/hyperlink" Target="https://www.utilitydive.com/news/pjm-interconnection-load-forecast-data-centers/809717/" TargetMode="External"/><Relationship Id="rId15" Type="http://schemas.openxmlformats.org/officeDocument/2006/relationships/hyperlink" Target="https://www.powermag.com/pjm-dials-back-near-term-load-outlook-but-maintains-steep-long-term-growth-trajectory/" TargetMode="External"/><Relationship Id="rId16" Type="http://schemas.openxmlformats.org/officeDocument/2006/relationships/hyperlink" Target="https://www.kjzz.org/business/2026-07-29/aps-srp-saw-peak-demand-records-as-both-neared-planned-power-capacity-for-the-summer" TargetMode="External"/><Relationship Id="rId17" Type="http://schemas.openxmlformats.org/officeDocument/2006/relationships/hyperlink" Target="https://www.kjzz.org/business/2026-07-29/data-centers-drive-half-of-aps-peak-demand-growth-this-year-compared-to-2025" TargetMode="External"/><Relationship Id="rId18" Type="http://schemas.openxmlformats.org/officeDocument/2006/relationships/hyperlink" Target="https://www.aps.com/en/About/Our-Company/Newsroom/Articles/Powering_Arizonas_Remarkable_Growth" TargetMode="External"/><Relationship Id="rId19" Type="http://schemas.openxmlformats.org/officeDocument/2006/relationships/hyperlink" Target="https://www.kjzz.org/business/2026-07-29/aps-srp-saw-peak-demand-records-as-both-neared-planned-power-capacity-for-the-summer" TargetMode="External"/><Relationship Id="rId20" Type="http://schemas.openxmlformats.org/officeDocument/2006/relationships/hyperlink" Target="https://www.srpnet.com/about/data-center-facts" TargetMode="External"/><Relationship Id="rId21" Type="http://schemas.openxmlformats.org/officeDocument/2006/relationships/hyperlink" Target="https://www.azcc.gov/news/home/2026/04/20/acc-large-load-data-center-workshop-highligh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2" customFormat="false" ht="30" hidden="false" customHeight="true" outlineLevel="0" collapsed="false">
      <c r="A2" s="1"/>
      <c r="B2" s="1"/>
    </row>
    <row r="4" customFormat="false" ht="19.5" hidden="false" customHeight="true" outlineLevel="0" collapsed="false">
      <c r="B4" s="2" t="s">
        <v>0</v>
      </c>
    </row>
    <row r="5" customFormat="false" ht="75" hidden="false" customHeight="true" outlineLevel="0" collapsed="false">
      <c r="B5" s="3" t="s">
        <v>1</v>
      </c>
    </row>
    <row r="7" customFormat="false" ht="19.5" hidden="false" customHeight="true" outlineLevel="0" collapsed="false">
      <c r="B7" s="2" t="s">
        <v>2</v>
      </c>
    </row>
    <row r="8" customFormat="false" ht="75" hidden="false" customHeight="true" outlineLevel="0" collapsed="false">
      <c r="B8" s="3" t="s">
        <v>3</v>
      </c>
    </row>
    <row r="10" customFormat="false" ht="19.5" hidden="false" customHeight="true" outlineLevel="0" collapsed="false">
      <c r="B10" s="2" t="s">
        <v>4</v>
      </c>
    </row>
    <row r="11" customFormat="false" ht="75" hidden="false" customHeight="true" outlineLevel="0" collapsed="false">
      <c r="B11" s="3" t="s">
        <v>5</v>
      </c>
    </row>
    <row r="13" customFormat="false" ht="19.5" hidden="false" customHeight="true" outlineLevel="0" collapsed="false">
      <c r="B13" s="2" t="s">
        <v>6</v>
      </c>
    </row>
    <row r="14" customFormat="false" ht="60" hidden="false" customHeight="true" outlineLevel="0" collapsed="false">
      <c r="B14" s="3" t="s">
        <v>7</v>
      </c>
    </row>
    <row r="16" customFormat="false" ht="19.5" hidden="false" customHeight="true" outlineLevel="0" collapsed="false">
      <c r="B16" s="2" t="s">
        <v>8</v>
      </c>
    </row>
    <row r="17" customFormat="false" ht="90" hidden="false" customHeight="true" outlineLevel="0" collapsed="false">
      <c r="B17" s="3" t="s">
        <v>9</v>
      </c>
    </row>
    <row r="19" customFormat="false" ht="19.5" hidden="false" customHeight="true" outlineLevel="0" collapsed="false">
      <c r="B19" s="2" t="s">
        <v>10</v>
      </c>
    </row>
    <row r="20" customFormat="false" ht="75" hidden="false" customHeight="true" outlineLevel="0" collapsed="false">
      <c r="B20" s="3" t="s">
        <v>11</v>
      </c>
    </row>
    <row r="22" customFormat="false" ht="15" hidden="false" customHeight="false" outlineLevel="0" collapsed="false">
      <c r="B22" s="4" t="s">
        <v>12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40"/>
    <col collapsed="false" customWidth="true" hidden="false" outlineLevel="0" max="12" min="12" style="0" width="46"/>
  </cols>
  <sheetData>
    <row r="1" customFormat="false" ht="45.7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</row>
    <row r="2" customFormat="false" ht="66" hidden="false" customHeight="true" outlineLevel="0" collapsed="false">
      <c r="A2" s="6" t="s">
        <v>25</v>
      </c>
      <c r="B2" s="7" t="s">
        <v>26</v>
      </c>
      <c r="C2" s="7" t="s">
        <v>27</v>
      </c>
      <c r="D2" s="8" t="n">
        <v>5</v>
      </c>
      <c r="E2" s="8" t="n">
        <v>5</v>
      </c>
      <c r="F2" s="8" t="n">
        <v>4</v>
      </c>
      <c r="G2" s="8" t="n">
        <v>4</v>
      </c>
      <c r="H2" s="8" t="n">
        <v>5</v>
      </c>
      <c r="I2" s="9" t="n">
        <f aca="false">D2*'Scoring Model'!$B$3+E2*'Scoring Model'!$B$4+F2*'Scoring Model'!$B$5+G2*'Scoring Model'!$B$6+H2*'Scoring Model'!$B$7</f>
        <v>4.65</v>
      </c>
      <c r="J2" s="10" t="str">
        <f aca="false">IF(I2&gt;=4,"High – push timeline penalties &amp; price",IF(I2&gt;=3.2,"Moderate – probe delivery risk",IF(I2&gt;=2.5,"Some – secondary lever","Low – limited timeline leverage")))</f>
        <v>High – push timeline penalties &amp; price</v>
      </c>
      <c r="K2" s="10" t="s">
        <v>28</v>
      </c>
      <c r="L2" s="10" t="s">
        <v>29</v>
      </c>
    </row>
    <row r="3" customFormat="false" ht="66" hidden="false" customHeight="true" outlineLevel="0" collapsed="false">
      <c r="A3" s="11" t="s">
        <v>30</v>
      </c>
      <c r="B3" s="12" t="s">
        <v>26</v>
      </c>
      <c r="C3" s="12" t="s">
        <v>31</v>
      </c>
      <c r="D3" s="13" t="n">
        <v>4</v>
      </c>
      <c r="E3" s="13" t="n">
        <v>5</v>
      </c>
      <c r="F3" s="13" t="n">
        <v>3</v>
      </c>
      <c r="G3" s="13" t="n">
        <v>3</v>
      </c>
      <c r="H3" s="13" t="n">
        <v>4</v>
      </c>
      <c r="I3" s="14" t="n">
        <f aca="false">D3*'Scoring Model'!$B$3+E3*'Scoring Model'!$B$4+F3*'Scoring Model'!$B$5+G3*'Scoring Model'!$B$6+H3*'Scoring Model'!$B$7</f>
        <v>3.9</v>
      </c>
      <c r="J3" s="15" t="str">
        <f aca="false">IF(I3&gt;=4,"High – push timeline penalties &amp; price",IF(I3&gt;=3.2,"Moderate – probe delivery risk",IF(I3&gt;=2.5,"Some – secondary lever","Low – limited timeline leverage")))</f>
        <v>Moderate – probe delivery risk</v>
      </c>
      <c r="K3" s="15" t="s">
        <v>32</v>
      </c>
      <c r="L3" s="15" t="s">
        <v>33</v>
      </c>
    </row>
    <row r="4" customFormat="false" ht="66" hidden="false" customHeight="true" outlineLevel="0" collapsed="false">
      <c r="A4" s="6" t="s">
        <v>34</v>
      </c>
      <c r="B4" s="7" t="s">
        <v>35</v>
      </c>
      <c r="C4" s="7" t="s">
        <v>36</v>
      </c>
      <c r="D4" s="8" t="n">
        <v>5</v>
      </c>
      <c r="E4" s="8" t="n">
        <v>4</v>
      </c>
      <c r="F4" s="8" t="n">
        <v>4</v>
      </c>
      <c r="G4" s="8" t="n">
        <v>4</v>
      </c>
      <c r="H4" s="8" t="n">
        <v>3</v>
      </c>
      <c r="I4" s="9" t="n">
        <f aca="false">D4*'Scoring Model'!$B$3+E4*'Scoring Model'!$B$4+F4*'Scoring Model'!$B$5+G4*'Scoring Model'!$B$6+H4*'Scoring Model'!$B$7</f>
        <v>4.1</v>
      </c>
      <c r="J4" s="10" t="str">
        <f aca="false">IF(I4&gt;=4,"High – push timeline penalties &amp; price",IF(I4&gt;=3.2,"Moderate – probe delivery risk",IF(I4&gt;=2.5,"Some – secondary lever","Low – limited timeline leverage")))</f>
        <v>High – push timeline penalties &amp; price</v>
      </c>
      <c r="K4" s="10" t="s">
        <v>37</v>
      </c>
      <c r="L4" s="10" t="s">
        <v>38</v>
      </c>
    </row>
    <row r="5" customFormat="false" ht="66" hidden="false" customHeight="true" outlineLevel="0" collapsed="false">
      <c r="A5" s="11" t="s">
        <v>39</v>
      </c>
      <c r="B5" s="12" t="s">
        <v>40</v>
      </c>
      <c r="C5" s="12" t="s">
        <v>41</v>
      </c>
      <c r="D5" s="13" t="n">
        <v>5</v>
      </c>
      <c r="E5" s="13" t="n">
        <v>3</v>
      </c>
      <c r="F5" s="13" t="n">
        <v>4</v>
      </c>
      <c r="G5" s="13" t="n">
        <v>4</v>
      </c>
      <c r="H5" s="13" t="n">
        <v>3</v>
      </c>
      <c r="I5" s="14" t="n">
        <f aca="false">D5*'Scoring Model'!$B$3+E5*'Scoring Model'!$B$4+F5*'Scoring Model'!$B$5+G5*'Scoring Model'!$B$6+H5*'Scoring Model'!$B$7</f>
        <v>3.85</v>
      </c>
      <c r="J5" s="15" t="str">
        <f aca="false">IF(I5&gt;=4,"High – push timeline penalties &amp; price",IF(I5&gt;=3.2,"Moderate – probe delivery risk",IF(I5&gt;=2.5,"Some – secondary lever","Low – limited timeline leverage")))</f>
        <v>Moderate – probe delivery risk</v>
      </c>
      <c r="K5" s="15" t="s">
        <v>42</v>
      </c>
      <c r="L5" s="15" t="s">
        <v>43</v>
      </c>
    </row>
    <row r="6" customFormat="false" ht="66" hidden="false" customHeight="true" outlineLevel="0" collapsed="false">
      <c r="A6" s="6" t="s">
        <v>44</v>
      </c>
      <c r="B6" s="7" t="s">
        <v>26</v>
      </c>
      <c r="C6" s="7" t="s">
        <v>45</v>
      </c>
      <c r="D6" s="8" t="n">
        <v>3</v>
      </c>
      <c r="E6" s="8" t="n">
        <v>3</v>
      </c>
      <c r="F6" s="8" t="n">
        <v>4</v>
      </c>
      <c r="G6" s="8" t="n">
        <v>4</v>
      </c>
      <c r="H6" s="8" t="n">
        <v>3</v>
      </c>
      <c r="I6" s="9" t="n">
        <f aca="false">D6*'Scoring Model'!$B$3+E6*'Scoring Model'!$B$4+F6*'Scoring Model'!$B$5+G6*'Scoring Model'!$B$6+H6*'Scoring Model'!$B$7</f>
        <v>3.35</v>
      </c>
      <c r="J6" s="10" t="str">
        <f aca="false">IF(I6&gt;=4,"High – push timeline penalties &amp; price",IF(I6&gt;=3.2,"Moderate – probe delivery risk",IF(I6&gt;=2.5,"Some – secondary lever","Low – limited timeline leverage")))</f>
        <v>Moderate – probe delivery risk</v>
      </c>
      <c r="K6" s="10" t="s">
        <v>46</v>
      </c>
      <c r="L6" s="10" t="s">
        <v>47</v>
      </c>
    </row>
    <row r="7" customFormat="false" ht="66" hidden="false" customHeight="true" outlineLevel="0" collapsed="false">
      <c r="A7" s="11" t="s">
        <v>48</v>
      </c>
      <c r="B7" s="12" t="s">
        <v>26</v>
      </c>
      <c r="C7" s="12" t="s">
        <v>49</v>
      </c>
      <c r="D7" s="13" t="n">
        <v>3</v>
      </c>
      <c r="E7" s="13" t="n">
        <v>3</v>
      </c>
      <c r="F7" s="13" t="n">
        <v>4</v>
      </c>
      <c r="G7" s="13" t="n">
        <v>4</v>
      </c>
      <c r="H7" s="13" t="n">
        <v>3</v>
      </c>
      <c r="I7" s="14" t="n">
        <f aca="false">D7*'Scoring Model'!$B$3+E7*'Scoring Model'!$B$4+F7*'Scoring Model'!$B$5+G7*'Scoring Model'!$B$6+H7*'Scoring Model'!$B$7</f>
        <v>3.35</v>
      </c>
      <c r="J7" s="15" t="str">
        <f aca="false">IF(I7&gt;=4,"High – push timeline penalties &amp; price",IF(I7&gt;=3.2,"Moderate – probe delivery risk",IF(I7&gt;=2.5,"Some – secondary lever","Low – limited timeline leverage")))</f>
        <v>Moderate – probe delivery risk</v>
      </c>
      <c r="K7" s="15" t="s">
        <v>50</v>
      </c>
      <c r="L7" s="15" t="s">
        <v>51</v>
      </c>
    </row>
    <row r="8" customFormat="false" ht="66" hidden="false" customHeight="true" outlineLevel="0" collapsed="false">
      <c r="A8" s="6" t="s">
        <v>52</v>
      </c>
      <c r="B8" s="7" t="s">
        <v>26</v>
      </c>
      <c r="C8" s="7" t="s">
        <v>53</v>
      </c>
      <c r="D8" s="8" t="n">
        <v>3</v>
      </c>
      <c r="E8" s="8" t="n">
        <v>3</v>
      </c>
      <c r="F8" s="8" t="n">
        <v>3</v>
      </c>
      <c r="G8" s="8" t="n">
        <v>4</v>
      </c>
      <c r="H8" s="8" t="n">
        <v>3</v>
      </c>
      <c r="I8" s="9" t="n">
        <f aca="false">D8*'Scoring Model'!$B$3+E8*'Scoring Model'!$B$4+F8*'Scoring Model'!$B$5+G8*'Scoring Model'!$B$6+H8*'Scoring Model'!$B$7</f>
        <v>3.15</v>
      </c>
      <c r="J8" s="10" t="str">
        <f aca="false">IF(I8&gt;=4,"High – push timeline penalties &amp; price",IF(I8&gt;=3.2,"Moderate – probe delivery risk",IF(I8&gt;=2.5,"Some – secondary lever","Low – limited timeline leverage")))</f>
        <v>Some – secondary lever</v>
      </c>
      <c r="K8" s="10" t="s">
        <v>54</v>
      </c>
      <c r="L8" s="10" t="s">
        <v>55</v>
      </c>
    </row>
    <row r="9" customFormat="false" ht="66" hidden="false" customHeight="true" outlineLevel="0" collapsed="false">
      <c r="A9" s="11" t="s">
        <v>56</v>
      </c>
      <c r="B9" s="12" t="s">
        <v>26</v>
      </c>
      <c r="C9" s="12" t="s">
        <v>57</v>
      </c>
      <c r="D9" s="13" t="n">
        <v>3</v>
      </c>
      <c r="E9" s="13" t="n">
        <v>2</v>
      </c>
      <c r="F9" s="13" t="n">
        <v>3</v>
      </c>
      <c r="G9" s="13" t="n">
        <v>3</v>
      </c>
      <c r="H9" s="13" t="n">
        <v>2</v>
      </c>
      <c r="I9" s="14" t="n">
        <f aca="false">D9*'Scoring Model'!$B$3+E9*'Scoring Model'!$B$4+F9*'Scoring Model'!$B$5+G9*'Scoring Model'!$B$6+H9*'Scoring Model'!$B$7</f>
        <v>2.6</v>
      </c>
      <c r="J9" s="15" t="str">
        <f aca="false">IF(I9&gt;=4,"High – push timeline penalties &amp; price",IF(I9&gt;=3.2,"Moderate – probe delivery risk",IF(I9&gt;=2.5,"Some – secondary lever","Low – limited timeline leverage")))</f>
        <v>Some – secondary lever</v>
      </c>
      <c r="K9" s="15" t="s">
        <v>58</v>
      </c>
      <c r="L9" s="15" t="s">
        <v>59</v>
      </c>
    </row>
    <row r="10" customFormat="false" ht="66" hidden="false" customHeight="true" outlineLevel="0" collapsed="false">
      <c r="A10" s="6" t="s">
        <v>60</v>
      </c>
      <c r="B10" s="7" t="s">
        <v>35</v>
      </c>
      <c r="C10" s="7" t="s">
        <v>61</v>
      </c>
      <c r="D10" s="8" t="n">
        <v>2</v>
      </c>
      <c r="E10" s="8" t="n">
        <v>2</v>
      </c>
      <c r="F10" s="8" t="n">
        <v>2</v>
      </c>
      <c r="G10" s="8" t="n">
        <v>4</v>
      </c>
      <c r="H10" s="8" t="n">
        <v>2</v>
      </c>
      <c r="I10" s="9" t="n">
        <f aca="false">D10*'Scoring Model'!$B$3+E10*'Scoring Model'!$B$4+F10*'Scoring Model'!$B$5+G10*'Scoring Model'!$B$6+H10*'Scoring Model'!$B$7</f>
        <v>2.3</v>
      </c>
      <c r="J10" s="10" t="str">
        <f aca="false">IF(I10&gt;=4,"High – push timeline penalties &amp; price",IF(I10&gt;=3.2,"Moderate – probe delivery risk",IF(I10&gt;=2.5,"Some – secondary lever","Low – limited timeline leverage")))</f>
        <v>Low – limited timeline leverage</v>
      </c>
      <c r="K10" s="10" t="s">
        <v>62</v>
      </c>
      <c r="L10" s="10" t="s">
        <v>63</v>
      </c>
    </row>
    <row r="11" customFormat="false" ht="39.75" hidden="false" customHeight="true" outlineLevel="0" collapsed="false">
      <c r="A11" s="11" t="s">
        <v>64</v>
      </c>
      <c r="B11" s="12" t="s">
        <v>65</v>
      </c>
      <c r="C11" s="12" t="s">
        <v>66</v>
      </c>
      <c r="D11" s="16"/>
      <c r="E11" s="16"/>
      <c r="F11" s="16"/>
      <c r="G11" s="16"/>
      <c r="H11" s="16"/>
      <c r="I11" s="14" t="str">
        <f aca="false">IF(COUNT(D11:H11)=5,D11*'Scoring Model'!$B$3+E11*'Scoring Model'!$B$4+F11*'Scoring Model'!$B$5+G11*'Scoring Model'!$B$6+H11*'Scoring Model'!$B$7,"")</f>
        <v/>
      </c>
      <c r="J11" s="17" t="str">
        <f aca="false">IF(I11="","fill yellow cells",IF(I11&gt;=4,"High – push timeline penalties &amp; price",IF(I11&gt;=3.2,"Moderate – probe delivery risk",IF(I11&gt;=2.5,"Some – secondary lever","Low – limited timeline leverage"))))</f>
        <v>fill yellow cells</v>
      </c>
      <c r="K11" s="18" t="s">
        <v>67</v>
      </c>
      <c r="L11" s="18" t="s">
        <v>68</v>
      </c>
    </row>
    <row r="12" customFormat="false" ht="39.75" hidden="false" customHeight="true" outlineLevel="0" collapsed="false">
      <c r="A12" s="6" t="s">
        <v>69</v>
      </c>
      <c r="B12" s="7" t="s">
        <v>70</v>
      </c>
      <c r="C12" s="7" t="s">
        <v>71</v>
      </c>
      <c r="D12" s="16"/>
      <c r="E12" s="16"/>
      <c r="F12" s="16"/>
      <c r="G12" s="16"/>
      <c r="H12" s="16"/>
      <c r="I12" s="9" t="str">
        <f aca="false">IF(COUNT(D12:H12)=5,D12*'Scoring Model'!$B$3+E12*'Scoring Model'!$B$4+F12*'Scoring Model'!$B$5+G12*'Scoring Model'!$B$6+H12*'Scoring Model'!$B$7,"")</f>
        <v/>
      </c>
      <c r="J12" s="19" t="str">
        <f aca="false">IF(I12="","fill yellow cells",IF(I12&gt;=4,"High – push timeline penalties &amp; price",IF(I12&gt;=3.2,"Moderate – probe delivery risk",IF(I12&gt;=2.5,"Some – secondary lever","Low – limited timeline leverage"))))</f>
        <v>fill yellow cells</v>
      </c>
      <c r="K12" s="20" t="s">
        <v>67</v>
      </c>
      <c r="L12" s="20" t="s">
        <v>68</v>
      </c>
    </row>
    <row r="13" customFormat="false" ht="39.75" hidden="false" customHeight="true" outlineLevel="0" collapsed="false">
      <c r="A13" s="11" t="s">
        <v>72</v>
      </c>
      <c r="B13" s="12" t="s">
        <v>73</v>
      </c>
      <c r="C13" s="12" t="s">
        <v>74</v>
      </c>
      <c r="D13" s="16"/>
      <c r="E13" s="16"/>
      <c r="F13" s="16"/>
      <c r="G13" s="16"/>
      <c r="H13" s="16"/>
      <c r="I13" s="14" t="str">
        <f aca="false">IF(COUNT(D13:H13)=5,D13*'Scoring Model'!$B$3+E13*'Scoring Model'!$B$4+F13*'Scoring Model'!$B$5+G13*'Scoring Model'!$B$6+H13*'Scoring Model'!$B$7,"")</f>
        <v/>
      </c>
      <c r="J13" s="17" t="str">
        <f aca="false">IF(I13="","fill yellow cells",IF(I13&gt;=4,"High – push timeline penalties &amp; price",IF(I13&gt;=3.2,"Moderate – probe delivery risk",IF(I13&gt;=2.5,"Some – secondary lever","Low – limited timeline leverage"))))</f>
        <v>fill yellow cells</v>
      </c>
      <c r="K13" s="18" t="s">
        <v>67</v>
      </c>
      <c r="L13" s="18" t="s">
        <v>68</v>
      </c>
    </row>
    <row r="15" customFormat="false" ht="15" hidden="false" customHeight="false" outlineLevel="0" collapsed="false">
      <c r="A15" s="4" t="s">
        <v>75</v>
      </c>
    </row>
    <row r="16" customFormat="false" ht="15" hidden="false" customHeight="false" outlineLevel="0" collapsed="false">
      <c r="A16" s="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21" t="s">
        <v>77</v>
      </c>
      <c r="B1" s="21"/>
      <c r="C1" s="21"/>
    </row>
    <row r="2" customFormat="false" ht="15" hidden="false" customHeight="false" outlineLevel="0" collapsed="false">
      <c r="A2" s="22" t="s">
        <v>78</v>
      </c>
      <c r="B2" s="22" t="s">
        <v>79</v>
      </c>
      <c r="C2" s="22" t="s">
        <v>80</v>
      </c>
    </row>
    <row r="3" customFormat="false" ht="42" hidden="false" customHeight="true" outlineLevel="0" collapsed="false">
      <c r="A3" s="12" t="s">
        <v>81</v>
      </c>
      <c r="B3" s="23" t="n">
        <v>0.25</v>
      </c>
      <c r="C3" s="15" t="s">
        <v>82</v>
      </c>
    </row>
    <row r="4" customFormat="false" ht="42" hidden="false" customHeight="true" outlineLevel="0" collapsed="false">
      <c r="A4" s="12" t="s">
        <v>17</v>
      </c>
      <c r="B4" s="23" t="n">
        <v>0.25</v>
      </c>
      <c r="C4" s="15" t="s">
        <v>83</v>
      </c>
    </row>
    <row r="5" customFormat="false" ht="42" hidden="false" customHeight="true" outlineLevel="0" collapsed="false">
      <c r="A5" s="12" t="s">
        <v>18</v>
      </c>
      <c r="B5" s="23" t="n">
        <v>0.2</v>
      </c>
      <c r="C5" s="15" t="s">
        <v>84</v>
      </c>
    </row>
    <row r="6" customFormat="false" ht="42" hidden="false" customHeight="true" outlineLevel="0" collapsed="false">
      <c r="A6" s="12" t="s">
        <v>19</v>
      </c>
      <c r="B6" s="23" t="n">
        <v>0.15</v>
      </c>
      <c r="C6" s="15" t="s">
        <v>85</v>
      </c>
    </row>
    <row r="7" customFormat="false" ht="42" hidden="false" customHeight="true" outlineLevel="0" collapsed="false">
      <c r="A7" s="12" t="s">
        <v>20</v>
      </c>
      <c r="B7" s="23" t="n">
        <v>0.15</v>
      </c>
      <c r="C7" s="15" t="s">
        <v>86</v>
      </c>
    </row>
    <row r="8" customFormat="false" ht="15" hidden="false" customHeight="false" outlineLevel="0" collapsed="false">
      <c r="A8" s="11" t="s">
        <v>87</v>
      </c>
      <c r="B8" s="24" t="n">
        <f aca="false">SUM(B3:B7)</f>
        <v>1</v>
      </c>
      <c r="C8" s="18" t="s">
        <v>88</v>
      </c>
    </row>
    <row r="10" customFormat="false" ht="15" hidden="false" customHeight="false" outlineLevel="0" collapsed="false">
      <c r="A10" s="4" t="s">
        <v>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40"/>
  </cols>
  <sheetData>
    <row r="1" customFormat="false" ht="30" hidden="false" customHeight="true" outlineLevel="0" collapsed="false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</row>
    <row r="2" customFormat="false" ht="30" hidden="false" customHeight="true" outlineLevel="0" collapsed="false">
      <c r="A2" s="10" t="s">
        <v>96</v>
      </c>
      <c r="B2" s="10" t="s">
        <v>97</v>
      </c>
      <c r="C2" s="10" t="s">
        <v>98</v>
      </c>
      <c r="D2" s="10" t="s">
        <v>99</v>
      </c>
      <c r="E2" s="10" t="s">
        <v>100</v>
      </c>
      <c r="F2" s="25" t="s">
        <v>101</v>
      </c>
    </row>
    <row r="3" customFormat="false" ht="30" hidden="false" customHeight="true" outlineLevel="0" collapsed="false">
      <c r="A3" s="15" t="s">
        <v>96</v>
      </c>
      <c r="B3" s="15" t="s">
        <v>102</v>
      </c>
      <c r="C3" s="15" t="s">
        <v>103</v>
      </c>
      <c r="D3" s="15" t="s">
        <v>104</v>
      </c>
      <c r="E3" s="15" t="s">
        <v>105</v>
      </c>
      <c r="F3" s="25" t="s">
        <v>101</v>
      </c>
    </row>
    <row r="4" customFormat="false" ht="30" hidden="false" customHeight="true" outlineLevel="0" collapsed="false">
      <c r="A4" s="10" t="s">
        <v>96</v>
      </c>
      <c r="B4" s="10" t="s">
        <v>106</v>
      </c>
      <c r="C4" s="10" t="s">
        <v>107</v>
      </c>
      <c r="D4" s="10" t="s">
        <v>108</v>
      </c>
      <c r="E4" s="10" t="s">
        <v>105</v>
      </c>
      <c r="F4" s="25" t="s">
        <v>101</v>
      </c>
    </row>
    <row r="5" customFormat="false" ht="30" hidden="false" customHeight="true" outlineLevel="0" collapsed="false">
      <c r="A5" s="15" t="s">
        <v>96</v>
      </c>
      <c r="B5" s="15" t="s">
        <v>109</v>
      </c>
      <c r="C5" s="15" t="s">
        <v>110</v>
      </c>
      <c r="D5" s="15" t="s">
        <v>104</v>
      </c>
      <c r="E5" s="15" t="s">
        <v>105</v>
      </c>
      <c r="F5" s="25" t="s">
        <v>101</v>
      </c>
    </row>
    <row r="6" customFormat="false" ht="30" hidden="false" customHeight="true" outlineLevel="0" collapsed="false">
      <c r="A6" s="10" t="s">
        <v>111</v>
      </c>
      <c r="B6" s="10" t="s">
        <v>112</v>
      </c>
      <c r="C6" s="10" t="s">
        <v>113</v>
      </c>
      <c r="D6" s="10" t="s">
        <v>114</v>
      </c>
      <c r="E6" s="10" t="s">
        <v>115</v>
      </c>
      <c r="F6" s="25" t="s">
        <v>101</v>
      </c>
    </row>
    <row r="7" customFormat="false" ht="30" hidden="false" customHeight="true" outlineLevel="0" collapsed="false">
      <c r="A7" s="15" t="s">
        <v>116</v>
      </c>
      <c r="B7" s="15" t="s">
        <v>117</v>
      </c>
      <c r="C7" s="15" t="s">
        <v>118</v>
      </c>
      <c r="D7" s="15" t="s">
        <v>119</v>
      </c>
      <c r="E7" s="15" t="s">
        <v>115</v>
      </c>
      <c r="F7" s="25" t="s">
        <v>101</v>
      </c>
    </row>
    <row r="8" customFormat="false" ht="30" hidden="false" customHeight="true" outlineLevel="0" collapsed="false">
      <c r="A8" s="10" t="s">
        <v>116</v>
      </c>
      <c r="B8" s="10" t="s">
        <v>120</v>
      </c>
      <c r="C8" s="10" t="s">
        <v>121</v>
      </c>
      <c r="D8" s="10" t="s">
        <v>122</v>
      </c>
      <c r="E8" s="10" t="s">
        <v>123</v>
      </c>
      <c r="F8" s="25" t="s">
        <v>124</v>
      </c>
    </row>
    <row r="9" customFormat="false" ht="30" hidden="false" customHeight="true" outlineLevel="0" collapsed="false">
      <c r="A9" s="15" t="s">
        <v>116</v>
      </c>
      <c r="B9" s="15" t="s">
        <v>125</v>
      </c>
      <c r="C9" s="15" t="s">
        <v>126</v>
      </c>
      <c r="D9" s="15" t="s">
        <v>127</v>
      </c>
      <c r="E9" s="15" t="s">
        <v>128</v>
      </c>
      <c r="F9" s="25" t="s">
        <v>129</v>
      </c>
    </row>
    <row r="10" customFormat="false" ht="30" hidden="false" customHeight="true" outlineLevel="0" collapsed="false">
      <c r="A10" s="10" t="s">
        <v>116</v>
      </c>
      <c r="B10" s="10" t="s">
        <v>130</v>
      </c>
      <c r="C10" s="10" t="s">
        <v>131</v>
      </c>
      <c r="D10" s="10" t="s">
        <v>132</v>
      </c>
      <c r="E10" s="10" t="s">
        <v>123</v>
      </c>
      <c r="F10" s="25" t="s">
        <v>133</v>
      </c>
    </row>
    <row r="11" customFormat="false" ht="30" hidden="false" customHeight="true" outlineLevel="0" collapsed="false">
      <c r="A11" s="15" t="s">
        <v>116</v>
      </c>
      <c r="B11" s="15" t="s">
        <v>134</v>
      </c>
      <c r="C11" s="15" t="s">
        <v>135</v>
      </c>
      <c r="D11" s="15" t="s">
        <v>136</v>
      </c>
      <c r="E11" s="15" t="s">
        <v>116</v>
      </c>
      <c r="F11" s="25" t="s">
        <v>133</v>
      </c>
    </row>
    <row r="12" customFormat="false" ht="30" hidden="false" customHeight="true" outlineLevel="0" collapsed="false">
      <c r="A12" s="10" t="s">
        <v>116</v>
      </c>
      <c r="B12" s="10" t="s">
        <v>137</v>
      </c>
      <c r="C12" s="10" t="s">
        <v>138</v>
      </c>
      <c r="D12" s="10" t="s">
        <v>139</v>
      </c>
      <c r="E12" s="10" t="s">
        <v>140</v>
      </c>
      <c r="F12" s="25" t="s">
        <v>141</v>
      </c>
    </row>
    <row r="13" customFormat="false" ht="30" hidden="false" customHeight="true" outlineLevel="0" collapsed="false">
      <c r="A13" s="15" t="s">
        <v>25</v>
      </c>
      <c r="B13" s="15" t="s">
        <v>142</v>
      </c>
      <c r="C13" s="15" t="s">
        <v>143</v>
      </c>
      <c r="D13" s="15" t="s">
        <v>144</v>
      </c>
      <c r="E13" s="15" t="s">
        <v>145</v>
      </c>
      <c r="F13" s="25" t="s">
        <v>146</v>
      </c>
    </row>
    <row r="14" customFormat="false" ht="30" hidden="false" customHeight="true" outlineLevel="0" collapsed="false">
      <c r="A14" s="10" t="s">
        <v>147</v>
      </c>
      <c r="B14" s="10" t="s">
        <v>148</v>
      </c>
      <c r="C14" s="10" t="s">
        <v>149</v>
      </c>
      <c r="D14" s="10" t="s">
        <v>119</v>
      </c>
      <c r="E14" s="10" t="s">
        <v>150</v>
      </c>
      <c r="F14" s="25" t="s">
        <v>151</v>
      </c>
    </row>
    <row r="15" customFormat="false" ht="30" hidden="false" customHeight="true" outlineLevel="0" collapsed="false">
      <c r="A15" s="15" t="s">
        <v>147</v>
      </c>
      <c r="B15" s="15" t="s">
        <v>152</v>
      </c>
      <c r="C15" s="15" t="s">
        <v>153</v>
      </c>
      <c r="D15" s="15" t="s">
        <v>154</v>
      </c>
      <c r="E15" s="15" t="s">
        <v>150</v>
      </c>
      <c r="F15" s="25" t="s">
        <v>155</v>
      </c>
    </row>
    <row r="16" customFormat="false" ht="30" hidden="false" customHeight="true" outlineLevel="0" collapsed="false">
      <c r="A16" s="10" t="s">
        <v>156</v>
      </c>
      <c r="B16" s="10" t="s">
        <v>157</v>
      </c>
      <c r="C16" s="10" t="s">
        <v>158</v>
      </c>
      <c r="D16" s="10" t="s">
        <v>144</v>
      </c>
      <c r="E16" s="10" t="s">
        <v>159</v>
      </c>
      <c r="F16" s="25" t="s">
        <v>160</v>
      </c>
    </row>
    <row r="17" customFormat="false" ht="30" hidden="false" customHeight="true" outlineLevel="0" collapsed="false">
      <c r="A17" s="15" t="s">
        <v>161</v>
      </c>
      <c r="B17" s="15" t="s">
        <v>162</v>
      </c>
      <c r="C17" s="15" t="s">
        <v>163</v>
      </c>
      <c r="D17" s="15" t="s">
        <v>164</v>
      </c>
      <c r="E17" s="15" t="s">
        <v>165</v>
      </c>
      <c r="F17" s="25" t="s">
        <v>166</v>
      </c>
    </row>
    <row r="18" customFormat="false" ht="30" hidden="false" customHeight="true" outlineLevel="0" collapsed="false">
      <c r="A18" s="10" t="s">
        <v>161</v>
      </c>
      <c r="B18" s="10" t="s">
        <v>167</v>
      </c>
      <c r="C18" s="10" t="s">
        <v>168</v>
      </c>
      <c r="D18" s="10" t="s">
        <v>164</v>
      </c>
      <c r="E18" s="10" t="s">
        <v>165</v>
      </c>
      <c r="F18" s="25" t="s">
        <v>169</v>
      </c>
    </row>
    <row r="19" customFormat="false" ht="30" hidden="false" customHeight="true" outlineLevel="0" collapsed="false">
      <c r="A19" s="15" t="s">
        <v>161</v>
      </c>
      <c r="B19" s="15" t="s">
        <v>170</v>
      </c>
      <c r="C19" s="15" t="s">
        <v>171</v>
      </c>
      <c r="D19" s="15" t="s">
        <v>144</v>
      </c>
      <c r="E19" s="15" t="s">
        <v>172</v>
      </c>
      <c r="F19" s="25" t="s">
        <v>173</v>
      </c>
    </row>
    <row r="20" customFormat="false" ht="30" hidden="false" customHeight="true" outlineLevel="0" collapsed="false">
      <c r="A20" s="10" t="s">
        <v>174</v>
      </c>
      <c r="B20" s="10" t="s">
        <v>175</v>
      </c>
      <c r="C20" s="10" t="s">
        <v>176</v>
      </c>
      <c r="D20" s="10" t="s">
        <v>164</v>
      </c>
      <c r="E20" s="10" t="s">
        <v>165</v>
      </c>
      <c r="F20" s="25" t="s">
        <v>166</v>
      </c>
    </row>
    <row r="21" customFormat="false" ht="30" hidden="false" customHeight="true" outlineLevel="0" collapsed="false">
      <c r="A21" s="15" t="s">
        <v>174</v>
      </c>
      <c r="B21" s="15" t="s">
        <v>177</v>
      </c>
      <c r="C21" s="15" t="s">
        <v>178</v>
      </c>
      <c r="D21" s="15" t="s">
        <v>119</v>
      </c>
      <c r="E21" s="15" t="s">
        <v>179</v>
      </c>
      <c r="F21" s="25" t="s">
        <v>180</v>
      </c>
    </row>
    <row r="22" customFormat="false" ht="30" hidden="false" customHeight="true" outlineLevel="0" collapsed="false">
      <c r="A22" s="10" t="s">
        <v>181</v>
      </c>
      <c r="B22" s="10" t="s">
        <v>182</v>
      </c>
      <c r="C22" s="10" t="s">
        <v>183</v>
      </c>
      <c r="D22" s="10" t="s">
        <v>184</v>
      </c>
      <c r="E22" s="10" t="s">
        <v>185</v>
      </c>
      <c r="F22" s="25" t="s">
        <v>186</v>
      </c>
    </row>
    <row r="24" customFormat="false" ht="15" hidden="false" customHeight="false" outlineLevel="0" collapsed="false">
      <c r="A24" s="4" t="s">
        <v>187</v>
      </c>
    </row>
  </sheetData>
  <hyperlinks>
    <hyperlink ref="F2" r:id="rId1" display="https://emp.lbl.gov/queues"/>
    <hyperlink ref="F3" r:id="rId2" display="https://emp.lbl.gov/queues"/>
    <hyperlink ref="F4" r:id="rId3" display="https://emp.lbl.gov/queues"/>
    <hyperlink ref="F5" r:id="rId4" display="https://emp.lbl.gov/queues"/>
    <hyperlink ref="F6" r:id="rId5" display="https://emp.lbl.gov/queues"/>
    <hyperlink ref="F7" r:id="rId6" display="https://emp.lbl.gov/queues"/>
    <hyperlink ref="F8" r:id="rId7" display="https://www.ercot.com/files/docs/2026/03/12/March-TAC-Report.pdf"/>
    <hyperlink ref="F9" r:id="rId8" display="https://www.latitudemedia.com/news/ercots-large-load-queue-has-nearly-quadrupled-in-a-single-year/"/>
    <hyperlink ref="F10" r:id="rId9" display="https://www.ercot.com/files/docs/2026/04/01/ERCOT_LargeLoad_Update_April2026_B-C_-Hearing.pdf"/>
    <hyperlink ref="F11" r:id="rId10" display="https://www.ercot.com/files/docs/2026/04/01/ERCOT_LargeLoad_Update_April2026_B-C_-Hearing.pdf"/>
    <hyperlink ref="F12" r:id="rId11" display="https://www.rtoinsider.com/122182-ercot-add-new-interconnection-rules-large-loads/"/>
    <hyperlink ref="F13" r:id="rId12" display="https://kilowattlogic.com/news/virginia-dominion-data-center-70gw-pipeline-rate-impact-2026"/>
    <hyperlink ref="F14" r:id="rId13" display="https://www.utilitydive.com/news/pjm-load-forecast-data-center-dominion-virginia/735056/"/>
    <hyperlink ref="F15" r:id="rId14" display="https://www.utilitydive.com/news/pjm-interconnection-load-forecast-data-centers/809717/"/>
    <hyperlink ref="F16" r:id="rId15" display="https://www.powermag.com/pjm-dials-back-near-term-load-outlook-but-maintains-steep-long-term-growth-trajectory/"/>
    <hyperlink ref="F17" r:id="rId16" display="https://www.kjzz.org/business/2026-07-29/aps-srp-saw-peak-demand-records-as-both-neared-planned-power-capacity-for-the-summer"/>
    <hyperlink ref="F18" r:id="rId17" display="https://www.kjzz.org/business/2026-07-29/data-centers-drive-half-of-aps-peak-demand-growth-this-year-compared-to-2025"/>
    <hyperlink ref="F19" r:id="rId18" display="https://www.aps.com/en/About/Our-Company/Newsroom/Articles/Powering_Arizonas_Remarkable_Growth"/>
    <hyperlink ref="F20" r:id="rId19" display="https://www.kjzz.org/business/2026-07-29/aps-srp-saw-peak-demand-records-as-both-neared-planned-power-capacity-for-the-summer"/>
    <hyperlink ref="F21" r:id="rId20" display="https://www.srpnet.com/about/data-center-facts"/>
    <hyperlink ref="F22" r:id="rId21" display="https://www.azcc.gov/news/home/2026/04/20/acc-large-load-data-center-workshop-highligh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2026-08-03T19:25:49Z</dcterms:created>
  <dc:creator>openpyxl</dc:creator>
  <dc:description/>
  <dc:language>en-US</dc:language>
  <cp:lastModifiedBy/>
  <dcterms:modified xsi:type="dcterms:W3CDTF">2026-08-03T19:25:49Z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